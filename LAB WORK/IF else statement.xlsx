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\ALL LABS\"/>
    </mc:Choice>
  </mc:AlternateContent>
  <xr:revisionPtr revIDLastSave="0" documentId="8_{DA4002BC-FDDC-4ADA-9017-364A68F38C5E}" xr6:coauthVersionLast="47" xr6:coauthVersionMax="47" xr10:uidLastSave="{00000000-0000-0000-0000-000000000000}"/>
  <bookViews>
    <workbookView xWindow="-108" yWindow="-108" windowWidth="23256" windowHeight="13896" xr2:uid="{17FD7597-C673-4FC8-8290-F8F302673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<sst xmlns="http://schemas.openxmlformats.org/spreadsheetml/2006/main" count="25" uniqueCount="23">
  <si>
    <t>Product ID</t>
  </si>
  <si>
    <t>Product</t>
  </si>
  <si>
    <t>Sales</t>
  </si>
  <si>
    <t xml:space="preserve">Target </t>
  </si>
  <si>
    <t>Region</t>
  </si>
  <si>
    <t>Product C</t>
  </si>
  <si>
    <t>Product D</t>
  </si>
  <si>
    <t>Product E</t>
  </si>
  <si>
    <t>Product F</t>
  </si>
  <si>
    <t>Product A</t>
  </si>
  <si>
    <t>Product B</t>
  </si>
  <si>
    <t>North</t>
  </si>
  <si>
    <t>South</t>
  </si>
  <si>
    <t>East</t>
  </si>
  <si>
    <t>West</t>
  </si>
  <si>
    <t>Met Sales Target</t>
  </si>
  <si>
    <t>Regional Bonus</t>
  </si>
  <si>
    <t>Commission Rate</t>
  </si>
  <si>
    <t>Bonus Amount</t>
  </si>
  <si>
    <t>Performance</t>
  </si>
  <si>
    <t>Price Tier</t>
  </si>
  <si>
    <t>Year-end Bonus</t>
  </si>
  <si>
    <t>High 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</si>
</sst>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AEEC-EB43-45C6-8612-15427DE1DEFF}">
  <dimension ref="A1:R7"/>
  <sheetViews>
    <sheetView tabSelected="1" workbookViewId="0">
      <selection activeCell="M3" sqref="M3"/>
    </sheetView>
  </sheetViews>
  <sheetFormatPr defaultRowHeight="14.4" x14ac:dyDescent="0.3"/>
  <cols>
    <col min="1" max="1" width="9.5546875" bestFit="1" customWidth="1"/>
    <col min="6" max="6" width="15" bestFit="1" customWidth="1"/>
    <col min="7" max="7" width="13.5546875" bestFit="1" customWidth="1"/>
    <col min="8" max="8" width="15.21875" bestFit="1" customWidth="1"/>
    <col min="9" max="9" width="13.6640625" bestFit="1" customWidth="1"/>
    <col min="10" max="10" width="17.77734375" bestFit="1" customWidth="1"/>
    <col min="12" max="12" width="14.33203125" bestFit="1" customWidth="1"/>
    <col min="13" max="13" width="14.6640625" bestFit="1" customWidth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3"/>
      <c r="O1" s="4"/>
      <c r="P1" s="4"/>
      <c r="Q1" s="4"/>
      <c r="R1" s="4"/>
    </row>
    <row r="2" spans="1:18" x14ac:dyDescent="0.3">
      <c r="A2" s="1">
        <v>101</v>
      </c>
      <c r="B2" s="1" t="s">
        <v>9</v>
      </c>
      <c r="C2" s="1">
        <v>120</v>
      </c>
      <c r="D2" s="1">
        <v>150</v>
      </c>
      <c r="E2" s="1" t="s">
        <v>11</v>
      </c>
      <c r="F2" s="1" t="str">
        <f>IF(C2&gt;=D2,"Met", "Not Met")</f>
        <v>Not Met</v>
      </c>
      <c r="G2" s="1" t="str">
        <f>IF(AND(E2="North", C2&gt;200), "Eligible", "Not Eligible")</f>
        <v>Not Eligible</v>
      </c>
      <c r="H2" s="1">
        <f>IF(C2&gt;=200, 0.1, IF(C2&gt;=150, 0.07, 0.05))</f>
        <v>0.05</v>
      </c>
      <c r="I2" s="1">
        <f>IF(C2&gt;=D2, C2*0.1, C2*0.05)</f>
        <v>6</v>
      </c>
      <c r="J2" s="1" t="str">
        <f>IF(C2&gt;=200, "Excellent",IF(C2&gt;=150, "Good", "Needs Improvement"))</f>
        <v>Needs Improvement</v>
      </c>
      <c r="K2" s="1" t="str">
        <f>IF(C2&gt;200, "High",IF(C2&gt;=100, "Medium","Low"))</f>
        <v>Medium</v>
      </c>
      <c r="L2" s="1">
        <f>IF(AND(C2&gt;=150, E2="North"),500, 300)</f>
        <v>300</v>
      </c>
      <c r="M2" s="1" t="str">
        <f>IF(C2&gt;=PERCENTILE($C$2:$C$7,0.75),"High Performer","Normal")</f>
        <v>Normal</v>
      </c>
      <c r="N2" s="2"/>
      <c r="R2" s="1"/>
    </row>
    <row r="3" spans="1:18" x14ac:dyDescent="0.3">
      <c r="A3" s="1">
        <v>102</v>
      </c>
      <c r="B3" s="1" t="s">
        <v>10</v>
      </c>
      <c r="C3" s="1">
        <v>150</v>
      </c>
      <c r="D3" s="1">
        <v>140</v>
      </c>
      <c r="E3" s="1" t="s">
        <v>12</v>
      </c>
      <c r="F3" s="1" t="str">
        <f t="shared" ref="F3:F7" si="0">IF(C3&gt;=D3,"Met", "Not Met")</f>
        <v>Met</v>
      </c>
      <c r="G3" s="1" t="str">
        <f t="shared" ref="G3:G7" si="1">IF(AND(E3="North", C3&gt;200), "Eligible", "Not Eligible")</f>
        <v>Not Eligible</v>
      </c>
      <c r="H3" s="1">
        <f t="shared" ref="H3:H7" si="2">IF(C3&gt;=200, 0.1, IF(C3&gt;=150, 0.07, 0.05))</f>
        <v>7.0000000000000007E-2</v>
      </c>
      <c r="I3" s="1">
        <f t="shared" ref="I3:I7" si="3">IF(C3&gt;=D3, C3*0.1, C3*0.05)</f>
        <v>15</v>
      </c>
      <c r="J3" s="1" t="str">
        <f t="shared" ref="J3:J7" si="4">IF(C3&gt;=200, "Excellent",IF(C3&gt;=150, "Good", "Needs Improvement"))</f>
        <v>Good</v>
      </c>
      <c r="K3" s="1" t="str">
        <f t="shared" ref="K3:K7" si="5">IF(C3&gt;200, "High",IF(C3&gt;=100, "Medium","Low"))</f>
        <v>Medium</v>
      </c>
      <c r="L3" s="1">
        <f t="shared" ref="L3:L7" si="6">IF(AND(C3&gt;=150, E3="North"),500, 300)</f>
        <v>300</v>
      </c>
      <c r="M3" s="1" t="str">
        <f t="shared" ref="M3:M7" si="7">IF(C3&gt;=PERCENTILE($C$2:$C$7,0.75),"High Performer","Normal")</f>
        <v>Normal</v>
      </c>
      <c r="N3" s="2"/>
    </row>
    <row r="4" spans="1:18" x14ac:dyDescent="0.3">
      <c r="A4" s="1">
        <v>103</v>
      </c>
      <c r="B4" s="1" t="s">
        <v>5</v>
      </c>
      <c r="C4" s="1">
        <v>200</v>
      </c>
      <c r="D4" s="1">
        <v>200</v>
      </c>
      <c r="E4" s="1" t="s">
        <v>13</v>
      </c>
      <c r="F4" s="1" t="str">
        <f t="shared" si="0"/>
        <v>Met</v>
      </c>
      <c r="G4" s="1" t="str">
        <f t="shared" si="1"/>
        <v>Not Eligible</v>
      </c>
      <c r="H4" s="1">
        <f t="shared" si="2"/>
        <v>0.1</v>
      </c>
      <c r="I4" s="1">
        <f t="shared" si="3"/>
        <v>20</v>
      </c>
      <c r="J4" s="1" t="str">
        <f t="shared" si="4"/>
        <v>Excellent</v>
      </c>
      <c r="K4" s="1" t="str">
        <f t="shared" si="5"/>
        <v>Medium</v>
      </c>
      <c r="L4" s="1">
        <f t="shared" si="6"/>
        <v>300</v>
      </c>
      <c r="M4" s="1" t="str">
        <f t="shared" si="7"/>
        <v>High Performer</v>
      </c>
      <c r="N4" s="2"/>
    </row>
    <row r="5" spans="1:18" x14ac:dyDescent="0.3">
      <c r="A5" s="1">
        <v>104</v>
      </c>
      <c r="B5" s="1" t="s">
        <v>6</v>
      </c>
      <c r="C5" s="1">
        <v>90</v>
      </c>
      <c r="D5" s="1">
        <v>100</v>
      </c>
      <c r="E5" s="1" t="s">
        <v>14</v>
      </c>
      <c r="F5" s="1" t="str">
        <f t="shared" si="0"/>
        <v>Not Met</v>
      </c>
      <c r="G5" s="1" t="str">
        <f t="shared" si="1"/>
        <v>Not Eligible</v>
      </c>
      <c r="H5" s="1">
        <f t="shared" si="2"/>
        <v>0.05</v>
      </c>
      <c r="I5" s="1">
        <f t="shared" si="3"/>
        <v>4.5</v>
      </c>
      <c r="J5" s="1" t="str">
        <f t="shared" si="4"/>
        <v>Needs Improvement</v>
      </c>
      <c r="K5" s="1" t="str">
        <f t="shared" si="5"/>
        <v>Low</v>
      </c>
      <c r="L5" s="1">
        <f t="shared" si="6"/>
        <v>300</v>
      </c>
      <c r="M5" s="1" t="str">
        <f t="shared" si="7"/>
        <v>Normal</v>
      </c>
      <c r="N5" s="2"/>
    </row>
    <row r="6" spans="1:18" x14ac:dyDescent="0.3">
      <c r="A6" s="1">
        <v>105</v>
      </c>
      <c r="B6" s="1" t="s">
        <v>7</v>
      </c>
      <c r="C6" s="1">
        <v>220</v>
      </c>
      <c r="D6" s="1">
        <v>210</v>
      </c>
      <c r="E6" s="1" t="s">
        <v>11</v>
      </c>
      <c r="F6" s="1" t="str">
        <f t="shared" si="0"/>
        <v>Met</v>
      </c>
      <c r="G6" s="1" t="str">
        <f t="shared" si="1"/>
        <v>Eligible</v>
      </c>
      <c r="H6" s="1">
        <f t="shared" si="2"/>
        <v>0.1</v>
      </c>
      <c r="I6" s="1">
        <f t="shared" si="3"/>
        <v>22</v>
      </c>
      <c r="J6" s="1" t="str">
        <f t="shared" si="4"/>
        <v>Excellent</v>
      </c>
      <c r="K6" s="1" t="str">
        <f t="shared" si="5"/>
        <v>High</v>
      </c>
      <c r="L6" s="1">
        <f t="shared" si="6"/>
        <v>500</v>
      </c>
      <c r="M6" s="1" t="str">
        <f t="shared" si="7"/>
        <v>High Performer</v>
      </c>
      <c r="N6" s="2"/>
    </row>
    <row r="7" spans="1:18" x14ac:dyDescent="0.3">
      <c r="A7" s="1">
        <v>106</v>
      </c>
      <c r="B7" s="1" t="s">
        <v>8</v>
      </c>
      <c r="C7" s="1">
        <v>160</v>
      </c>
      <c r="D7" s="1">
        <v>160</v>
      </c>
      <c r="E7" s="1" t="s">
        <v>12</v>
      </c>
      <c r="F7" s="1" t="str">
        <f t="shared" si="0"/>
        <v>Met</v>
      </c>
      <c r="G7" s="1" t="str">
        <f t="shared" si="1"/>
        <v>Not Eligible</v>
      </c>
      <c r="H7" s="1">
        <f t="shared" si="2"/>
        <v>7.0000000000000007E-2</v>
      </c>
      <c r="I7" s="1">
        <f t="shared" si="3"/>
        <v>16</v>
      </c>
      <c r="J7" s="1" t="str">
        <f t="shared" si="4"/>
        <v>Good</v>
      </c>
      <c r="K7" s="1" t="str">
        <f t="shared" si="5"/>
        <v>Medium</v>
      </c>
      <c r="L7" s="1">
        <f t="shared" si="6"/>
        <v>300</v>
      </c>
      <c r="M7" s="1" t="str">
        <f t="shared" si="7"/>
        <v>Normal</v>
      </c>
      <c r="N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Debirupa chakraborty</dc:creator>
  <cp:lastModifiedBy>Debirupa chakraborty</cp:lastModifiedBy>
  <dcterms:created xsi:type="dcterms:W3CDTF">2026-05-19T15:53:21Z</dcterms:created>
  <dcterms:modified xsi:type="dcterms:W3CDTF">2026-05-22T15:45:28Z</dcterms:modified>
</cp:coreProperties>
</file>