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UDIP\ALL LABS\"/>
    </mc:Choice>
  </mc:AlternateContent>
  <xr:revisionPtr revIDLastSave="0" documentId="8_{8F72D54D-EA95-4934-85B3-D02408F4050F}" xr6:coauthVersionLast="47" xr6:coauthVersionMax="47" xr10:uidLastSave="{00000000-0000-0000-0000-000000000000}"/>
  <bookViews>
    <workbookView xWindow="-108" yWindow="-108" windowWidth="23256" windowHeight="13896" activeTab="1" xr2:uid="{0F2507BC-C944-4174-9E95-D55873A6C6B6}"/>
  </bookViews>
  <sheets>
    <sheet name="PRODUCT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2" l="1"/>
  <c r="N73" i="2"/>
  <c r="N74" i="2"/>
  <c r="N75" i="2"/>
  <c r="N76" i="2"/>
  <c r="N77" i="2"/>
  <c r="N71" i="2"/>
  <c r="P55" i="2"/>
  <c r="O56" i="2"/>
  <c r="O57" i="2"/>
  <c r="O58" i="2"/>
  <c r="O59" i="2"/>
  <c r="O60" i="2"/>
  <c r="O55" i="2"/>
  <c r="N31" i="2"/>
  <c r="N32" i="2"/>
  <c r="N33" i="2"/>
  <c r="N34" i="2"/>
  <c r="N35" i="2"/>
  <c r="N36" i="2"/>
  <c r="N30" i="2"/>
  <c r="M45" i="2"/>
  <c r="M46" i="2"/>
  <c r="M47" i="2"/>
  <c r="M48" i="2"/>
  <c r="M49" i="2"/>
  <c r="M44" i="2"/>
  <c r="N19" i="2"/>
  <c r="N20" i="2"/>
  <c r="N21" i="2"/>
  <c r="N22" i="2"/>
  <c r="N23" i="2"/>
  <c r="O20" i="2"/>
  <c r="O21" i="2"/>
  <c r="O22" i="2"/>
  <c r="O23" i="2"/>
  <c r="N18" i="2"/>
  <c r="N6" i="2"/>
  <c r="N7" i="2"/>
  <c r="N8" i="2"/>
  <c r="N9" i="2"/>
  <c r="N10" i="2"/>
  <c r="N5" i="2"/>
  <c r="O18" i="2" l="1"/>
  <c r="O19" i="2"/>
</calcChain>
</file>

<file path=xl/sharedStrings.xml><?xml version="1.0" encoding="utf-8"?>
<sst xmlns="http://schemas.openxmlformats.org/spreadsheetml/2006/main" count="91" uniqueCount="49">
  <si>
    <t>Worksheet 1:</t>
  </si>
  <si>
    <t xml:space="preserve">ProductID </t>
  </si>
  <si>
    <t>Product</t>
  </si>
  <si>
    <t>Price</t>
  </si>
  <si>
    <t>Product A</t>
  </si>
  <si>
    <t>Product B</t>
  </si>
  <si>
    <t>Product C</t>
  </si>
  <si>
    <t xml:space="preserve"> Product D</t>
  </si>
  <si>
    <t>Product E</t>
  </si>
  <si>
    <t>Order ID</t>
  </si>
  <si>
    <t>Product ID</t>
  </si>
  <si>
    <t>Quantity</t>
  </si>
  <si>
    <t>Total Price</t>
  </si>
  <si>
    <t xml:space="preserve">1. Use VLOOKUP to find the product names for each ProductID in the Orders </t>
  </si>
  <si>
    <t>worksheet.</t>
  </si>
  <si>
    <t xml:space="preserve">2. Use VLOOKUP to find the price for each ProductID in the Orders worksheet, then </t>
  </si>
  <si>
    <t>calculate the TotalPrice by multiplying the Quantity by the Product Price.</t>
  </si>
  <si>
    <t xml:space="preserve">3. Use VLOOKUP to check if there are any ProductIDs in the Orders worksheet that </t>
  </si>
  <si>
    <t>do not exist in the Products worksheet.</t>
  </si>
  <si>
    <t xml:space="preserve">4. Assume a discount of 10% is given on all products. Use VLOOKUP to find the </t>
  </si>
  <si>
    <t>original price and then calculate the discounted price.</t>
  </si>
  <si>
    <t xml:space="preserve">5. Use VLOOKUP to find the price for each ProductID and then calculate the order </t>
  </si>
  <si>
    <t>value. Find the maximum order value from the list.</t>
  </si>
  <si>
    <t xml:space="preserve">6. Use VLOOKUP to find out which products from the Products worksheet have not </t>
  </si>
  <si>
    <t>been ordered.</t>
  </si>
  <si>
    <t xml:space="preserve">7. Use VLOOKUP to find the Product name and summarize the total quantity sold </t>
  </si>
  <si>
    <t>for each product.</t>
  </si>
  <si>
    <t>Product F</t>
  </si>
  <si>
    <t>product Name</t>
  </si>
  <si>
    <t>2.Use VLOOKUP to find thr Price for each ProductID in the Orders worksheet, then</t>
  </si>
  <si>
    <t>Toltal Price</t>
  </si>
  <si>
    <t>3. Use VLOOKUP to check if there are any Product IDs in the Orders</t>
  </si>
  <si>
    <t>Original Price</t>
  </si>
  <si>
    <t>Discounted Price</t>
  </si>
  <si>
    <t>Product D</t>
  </si>
  <si>
    <t>worksheet that do not exist in the Products Worksheet.</t>
  </si>
  <si>
    <t>4.Calculate Discounted Price (10% off)</t>
  </si>
  <si>
    <t>5.Maximum Order Value</t>
  </si>
  <si>
    <t>6.Find Unordered Products</t>
  </si>
  <si>
    <t>7.Summarize Total Quantity Sold</t>
  </si>
  <si>
    <t>Result</t>
  </si>
  <si>
    <t>Order value</t>
  </si>
  <si>
    <t>Max value</t>
  </si>
  <si>
    <t>Quantity Sold</t>
  </si>
  <si>
    <t>Quantities Sold</t>
  </si>
  <si>
    <t>Product Name</t>
  </si>
  <si>
    <t>Product G</t>
  </si>
  <si>
    <t>Order Status</t>
  </si>
  <si>
    <t>1.Use VLOOKUP to find the Product Names of each Product ID in the Orders Worksheet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</si>
</sst>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1" fillId="0" borderId="0" xfId="0" applyFont="1" applyBorder="1"/>
    <xf numFmtId="0" fontId="0" fillId="0" borderId="0" xfId="0" applyBorder="1"/>
    <xf numFmtId="0" fontId="0" fillId="0" borderId="1" xfId="0" applyFont="1" applyBorder="1"/>
    <xf numFmtId="0" fontId="0" fillId="0" borderId="7" xfId="0" applyBorder="1"/>
    <xf numFmtId="0" fontId="0" fillId="0" borderId="1" xfId="0" applyFill="1" applyBorder="1"/>
    <xf numFmtId="0" fontId="1" fillId="0" borderId="1" xfId="0" applyFont="1" applyFill="1" applyBorder="1"/>
    <xf numFmtId="0" fontId="0" fillId="0" borderId="8" xfId="0" applyFill="1" applyBorder="1"/>
    <xf numFmtId="0" fontId="0" fillId="0" borderId="1" xfId="0" applyFont="1" applyFill="1" applyBorder="1"/>
    <xf numFmtId="0" fontId="0" fillId="0" borderId="9" xfId="0" applyFill="1" applyBorder="1"/>
    <xf numFmtId="0" fontId="0" fillId="0" borderId="8" xfId="0" applyBorder="1"/>
    <xf numFmtId="0" fontId="1" fillId="0" borderId="8" xfId="0" applyFont="1" applyBorder="1"/>
    <xf numFmtId="0" fontId="1" fillId="0" borderId="9" xfId="0" applyFont="1" applyBorder="1"/>
    <xf numFmtId="0" fontId="0" fillId="0" borderId="9" xfId="0" applyBorder="1"/>
    <xf numFmtId="0" fontId="1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6D69-0935-41B1-9BA5-32B08E081A06}">
  <dimension ref="A2:Q19"/>
  <sheetViews>
    <sheetView workbookViewId="0">
      <selection activeCell="A4" sqref="A4:C10"/>
    </sheetView>
  </sheetViews>
  <sheetFormatPr defaultRowHeight="14.4" x14ac:dyDescent="0.3"/>
  <cols>
    <col min="1" max="1" width="11.6640625" customWidth="1"/>
    <col min="2" max="2" width="10.6640625" customWidth="1"/>
    <col min="9" max="10" width="9.6640625" customWidth="1"/>
    <col min="12" max="12" width="9.6640625" customWidth="1"/>
  </cols>
  <sheetData>
    <row r="2" spans="1:12" x14ac:dyDescent="0.3">
      <c r="A2" s="1" t="s">
        <v>0</v>
      </c>
      <c r="I2" s="1"/>
    </row>
    <row r="4" spans="1:12" x14ac:dyDescent="0.3">
      <c r="A4" s="6" t="s">
        <v>1</v>
      </c>
      <c r="B4" s="6" t="s">
        <v>2</v>
      </c>
      <c r="C4" s="7" t="s">
        <v>3</v>
      </c>
      <c r="I4" s="9"/>
      <c r="J4" s="9"/>
      <c r="K4" s="9"/>
      <c r="L4" s="9"/>
    </row>
    <row r="5" spans="1:12" x14ac:dyDescent="0.3">
      <c r="A5">
        <v>101</v>
      </c>
      <c r="B5" t="s">
        <v>4</v>
      </c>
      <c r="C5" s="4">
        <v>120</v>
      </c>
      <c r="I5" s="10"/>
      <c r="J5" s="10"/>
      <c r="K5" s="10"/>
      <c r="L5" s="10"/>
    </row>
    <row r="6" spans="1:12" x14ac:dyDescent="0.3">
      <c r="A6">
        <v>102</v>
      </c>
      <c r="B6" t="s">
        <v>5</v>
      </c>
      <c r="C6" s="4">
        <v>150</v>
      </c>
      <c r="I6" s="10"/>
      <c r="J6" s="10"/>
      <c r="K6" s="10"/>
      <c r="L6" s="10"/>
    </row>
    <row r="7" spans="1:12" x14ac:dyDescent="0.3">
      <c r="A7">
        <v>103</v>
      </c>
      <c r="B7" t="s">
        <v>6</v>
      </c>
      <c r="C7" s="4">
        <v>200</v>
      </c>
      <c r="I7" s="10"/>
      <c r="J7" s="10"/>
      <c r="K7" s="10"/>
      <c r="L7" s="10"/>
    </row>
    <row r="8" spans="1:12" x14ac:dyDescent="0.3">
      <c r="A8">
        <v>104</v>
      </c>
      <c r="B8" t="s">
        <v>7</v>
      </c>
      <c r="C8" s="4">
        <v>90</v>
      </c>
      <c r="I8" s="10"/>
      <c r="J8" s="10"/>
      <c r="K8" s="10"/>
      <c r="L8" s="10"/>
    </row>
    <row r="9" spans="1:12" x14ac:dyDescent="0.3">
      <c r="A9">
        <v>105</v>
      </c>
      <c r="B9" t="s">
        <v>8</v>
      </c>
      <c r="C9" s="4">
        <v>220</v>
      </c>
      <c r="I9" s="10"/>
      <c r="J9" s="10"/>
      <c r="K9" s="10"/>
      <c r="L9" s="10"/>
    </row>
    <row r="10" spans="1:12" x14ac:dyDescent="0.3">
      <c r="A10" s="5">
        <v>106</v>
      </c>
      <c r="B10" s="5" t="s">
        <v>27</v>
      </c>
      <c r="C10" s="8">
        <v>130</v>
      </c>
      <c r="I10" s="10"/>
      <c r="J10" s="10"/>
      <c r="K10" s="10"/>
      <c r="L10" s="10"/>
    </row>
    <row r="19" spans="17:17" x14ac:dyDescent="0.3">
      <c r="Q1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C6F2-F92E-4E7E-A7FE-27EEC9675BD6}">
  <dimension ref="A2:V89"/>
  <sheetViews>
    <sheetView tabSelected="1" topLeftCell="A79" workbookViewId="0">
      <selection activeCell="P4" sqref="P4"/>
    </sheetView>
  </sheetViews>
  <sheetFormatPr defaultRowHeight="14.4" x14ac:dyDescent="0.3"/>
  <cols>
    <col min="5" max="5" width="9.88671875" customWidth="1"/>
    <col min="12" max="12" width="11.77734375" bestFit="1" customWidth="1"/>
    <col min="13" max="13" width="14.88671875" customWidth="1"/>
    <col min="14" max="14" width="12.21875" customWidth="1"/>
    <col min="15" max="15" width="11.88671875" customWidth="1"/>
    <col min="16" max="16" width="10.44140625" customWidth="1"/>
    <col min="20" max="20" width="13.44140625" customWidth="1"/>
    <col min="21" max="21" width="13.109375" customWidth="1"/>
  </cols>
  <sheetData>
    <row r="2" spans="1:14" x14ac:dyDescent="0.3">
      <c r="K2" t="s">
        <v>48</v>
      </c>
    </row>
    <row r="4" spans="1:14" x14ac:dyDescent="0.3">
      <c r="B4" s="3" t="s">
        <v>9</v>
      </c>
      <c r="C4" s="3" t="s">
        <v>10</v>
      </c>
      <c r="D4" s="3" t="s">
        <v>11</v>
      </c>
      <c r="E4" s="3" t="s">
        <v>12</v>
      </c>
      <c r="K4" s="3" t="s">
        <v>9</v>
      </c>
      <c r="L4" s="3" t="s">
        <v>10</v>
      </c>
      <c r="M4" s="3" t="s">
        <v>11</v>
      </c>
      <c r="N4" s="3" t="s">
        <v>28</v>
      </c>
    </row>
    <row r="5" spans="1:14" x14ac:dyDescent="0.3">
      <c r="B5" s="2">
        <v>1</v>
      </c>
      <c r="C5" s="2">
        <v>101</v>
      </c>
      <c r="D5" s="2">
        <v>2</v>
      </c>
      <c r="E5" s="2"/>
      <c r="K5" s="2">
        <v>1</v>
      </c>
      <c r="L5" s="2">
        <v>101</v>
      </c>
      <c r="M5" s="2">
        <v>2</v>
      </c>
      <c r="N5" s="2" t="str">
        <f>VLOOKUP(L5,PRODUCT!$A$4:$C$10,2,0)</f>
        <v>Product A</v>
      </c>
    </row>
    <row r="6" spans="1:14" x14ac:dyDescent="0.3">
      <c r="B6" s="2">
        <v>2</v>
      </c>
      <c r="C6" s="2">
        <v>103</v>
      </c>
      <c r="D6" s="2">
        <v>1</v>
      </c>
      <c r="E6" s="2"/>
      <c r="K6" s="2">
        <v>2</v>
      </c>
      <c r="L6" s="2">
        <v>103</v>
      </c>
      <c r="M6" s="2">
        <v>1</v>
      </c>
      <c r="N6" s="2" t="str">
        <f>VLOOKUP(L6,PRODUCT!$A$4:$C$10,2,0)</f>
        <v>Product C</v>
      </c>
    </row>
    <row r="7" spans="1:14" x14ac:dyDescent="0.3">
      <c r="B7" s="2">
        <v>3</v>
      </c>
      <c r="C7" s="2">
        <v>105</v>
      </c>
      <c r="D7" s="2">
        <v>4</v>
      </c>
      <c r="E7" s="2"/>
      <c r="K7" s="2">
        <v>3</v>
      </c>
      <c r="L7" s="2">
        <v>105</v>
      </c>
      <c r="M7" s="2">
        <v>4</v>
      </c>
      <c r="N7" s="2" t="str">
        <f>VLOOKUP(L7,PRODUCT!$A$4:$C$10,2,0)</f>
        <v>Product E</v>
      </c>
    </row>
    <row r="8" spans="1:14" x14ac:dyDescent="0.3">
      <c r="B8" s="2">
        <v>4</v>
      </c>
      <c r="C8" s="2">
        <v>106</v>
      </c>
      <c r="D8" s="2">
        <v>3</v>
      </c>
      <c r="E8" s="2"/>
      <c r="K8" s="2">
        <v>4</v>
      </c>
      <c r="L8" s="2">
        <v>106</v>
      </c>
      <c r="M8" s="2">
        <v>3</v>
      </c>
      <c r="N8" s="2" t="str">
        <f>VLOOKUP(L8,PRODUCT!$A$4:$C$10,2,0)</f>
        <v>Product F</v>
      </c>
    </row>
    <row r="9" spans="1:14" x14ac:dyDescent="0.3">
      <c r="B9" s="2">
        <v>5</v>
      </c>
      <c r="C9" s="2">
        <v>102</v>
      </c>
      <c r="D9" s="2">
        <v>5</v>
      </c>
      <c r="E9" s="2"/>
      <c r="K9" s="2">
        <v>5</v>
      </c>
      <c r="L9" s="2">
        <v>102</v>
      </c>
      <c r="M9" s="2">
        <v>5</v>
      </c>
      <c r="N9" s="2" t="str">
        <f>VLOOKUP(L9,PRODUCT!$A$4:$C$10,2,0)</f>
        <v>Product B</v>
      </c>
    </row>
    <row r="10" spans="1:14" x14ac:dyDescent="0.3">
      <c r="B10" s="2">
        <v>6</v>
      </c>
      <c r="C10" s="2">
        <v>104</v>
      </c>
      <c r="D10" s="2">
        <v>6</v>
      </c>
      <c r="E10" s="2"/>
      <c r="K10" s="2">
        <v>6</v>
      </c>
      <c r="L10" s="2">
        <v>104</v>
      </c>
      <c r="M10" s="2">
        <v>6</v>
      </c>
      <c r="N10" s="2" t="str">
        <f>VLOOKUP(L10,PRODUCT!$A$4:$C$10,2,0)</f>
        <v xml:space="preserve"> Product D</v>
      </c>
    </row>
    <row r="13" spans="1:14" x14ac:dyDescent="0.3">
      <c r="A13" t="s">
        <v>13</v>
      </c>
    </row>
    <row r="14" spans="1:14" x14ac:dyDescent="0.3">
      <c r="A14" t="s">
        <v>14</v>
      </c>
      <c r="K14" t="s">
        <v>29</v>
      </c>
    </row>
    <row r="15" spans="1:14" x14ac:dyDescent="0.3">
      <c r="A15" t="s">
        <v>15</v>
      </c>
    </row>
    <row r="16" spans="1:14" x14ac:dyDescent="0.3">
      <c r="A16" t="s">
        <v>16</v>
      </c>
    </row>
    <row r="17" spans="1:15" x14ac:dyDescent="0.3">
      <c r="A17" t="s">
        <v>17</v>
      </c>
      <c r="K17" s="3" t="s">
        <v>9</v>
      </c>
      <c r="L17" s="3" t="s">
        <v>10</v>
      </c>
      <c r="M17" s="3" t="s">
        <v>11</v>
      </c>
      <c r="N17" s="3" t="s">
        <v>3</v>
      </c>
      <c r="O17" s="3" t="s">
        <v>30</v>
      </c>
    </row>
    <row r="18" spans="1:15" x14ac:dyDescent="0.3">
      <c r="A18" t="s">
        <v>18</v>
      </c>
      <c r="K18" s="2">
        <v>1</v>
      </c>
      <c r="L18" s="2">
        <v>101</v>
      </c>
      <c r="M18" s="2">
        <v>2</v>
      </c>
      <c r="N18" s="2">
        <f>VLOOKUP(L18,PRODUCT!$A$4:$C$10,3,0)</f>
        <v>120</v>
      </c>
      <c r="O18" s="2">
        <f>M18*N18</f>
        <v>240</v>
      </c>
    </row>
    <row r="19" spans="1:15" x14ac:dyDescent="0.3">
      <c r="A19" t="s">
        <v>19</v>
      </c>
      <c r="K19" s="2">
        <v>2</v>
      </c>
      <c r="L19" s="2">
        <v>103</v>
      </c>
      <c r="M19" s="2">
        <v>1</v>
      </c>
      <c r="N19" s="2">
        <f>VLOOKUP(L19,PRODUCT!$A$4:$C$10,3,0)</f>
        <v>200</v>
      </c>
      <c r="O19" s="2">
        <f t="shared" ref="O19:O23" si="0">M19*N19</f>
        <v>200</v>
      </c>
    </row>
    <row r="20" spans="1:15" x14ac:dyDescent="0.3">
      <c r="A20" t="s">
        <v>20</v>
      </c>
      <c r="K20" s="2">
        <v>3</v>
      </c>
      <c r="L20" s="2">
        <v>105</v>
      </c>
      <c r="M20" s="2">
        <v>4</v>
      </c>
      <c r="N20" s="2">
        <f>VLOOKUP(L20,PRODUCT!$A$4:$C$10,3,0)</f>
        <v>220</v>
      </c>
      <c r="O20" s="2">
        <f t="shared" si="0"/>
        <v>880</v>
      </c>
    </row>
    <row r="21" spans="1:15" x14ac:dyDescent="0.3">
      <c r="A21" t="s">
        <v>21</v>
      </c>
      <c r="K21" s="2">
        <v>4</v>
      </c>
      <c r="L21" s="2">
        <v>106</v>
      </c>
      <c r="M21" s="2">
        <v>3</v>
      </c>
      <c r="N21" s="2">
        <f>VLOOKUP(L21,PRODUCT!$A$4:$C$10,3,0)</f>
        <v>130</v>
      </c>
      <c r="O21" s="2">
        <f t="shared" si="0"/>
        <v>390</v>
      </c>
    </row>
    <row r="22" spans="1:15" x14ac:dyDescent="0.3">
      <c r="A22" t="s">
        <v>22</v>
      </c>
      <c r="K22" s="2">
        <v>5</v>
      </c>
      <c r="L22" s="2">
        <v>102</v>
      </c>
      <c r="M22" s="2">
        <v>5</v>
      </c>
      <c r="N22" s="2">
        <f>VLOOKUP(L22,PRODUCT!$A$4:$C$10,3,0)</f>
        <v>150</v>
      </c>
      <c r="O22" s="2">
        <f t="shared" si="0"/>
        <v>750</v>
      </c>
    </row>
    <row r="23" spans="1:15" x14ac:dyDescent="0.3">
      <c r="A23" t="s">
        <v>23</v>
      </c>
      <c r="K23" s="2">
        <v>6</v>
      </c>
      <c r="L23" s="2">
        <v>104</v>
      </c>
      <c r="M23" s="2">
        <v>6</v>
      </c>
      <c r="N23" s="2">
        <f>VLOOKUP(L23,PRODUCT!$A$4:$C$10,3,0)</f>
        <v>90</v>
      </c>
      <c r="O23" s="2">
        <f t="shared" si="0"/>
        <v>540</v>
      </c>
    </row>
    <row r="24" spans="1:15" x14ac:dyDescent="0.3">
      <c r="A24" t="s">
        <v>24</v>
      </c>
    </row>
    <row r="25" spans="1:15" x14ac:dyDescent="0.3">
      <c r="A25" t="s">
        <v>25</v>
      </c>
    </row>
    <row r="26" spans="1:15" x14ac:dyDescent="0.3">
      <c r="A26" t="s">
        <v>26</v>
      </c>
      <c r="K26" t="s">
        <v>31</v>
      </c>
    </row>
    <row r="27" spans="1:15" x14ac:dyDescent="0.3">
      <c r="K27" t="s">
        <v>35</v>
      </c>
    </row>
    <row r="29" spans="1:15" x14ac:dyDescent="0.3">
      <c r="K29" s="3" t="s">
        <v>9</v>
      </c>
      <c r="L29" s="3" t="s">
        <v>10</v>
      </c>
      <c r="M29" s="3" t="s">
        <v>11</v>
      </c>
      <c r="N29" s="3" t="s">
        <v>40</v>
      </c>
    </row>
    <row r="30" spans="1:15" x14ac:dyDescent="0.3">
      <c r="K30" s="2">
        <v>1</v>
      </c>
      <c r="L30" s="2">
        <v>101</v>
      </c>
      <c r="M30" s="2">
        <v>2</v>
      </c>
      <c r="N30" s="2" t="str">
        <f>IF(ISNA(VLOOKUP(L30,PRODUCT!$A$4:$B$10,1,0)),"Not Exist","Exist")</f>
        <v>Exist</v>
      </c>
    </row>
    <row r="31" spans="1:15" x14ac:dyDescent="0.3">
      <c r="K31" s="2">
        <v>2</v>
      </c>
      <c r="L31" s="2">
        <v>103</v>
      </c>
      <c r="M31" s="2">
        <v>1</v>
      </c>
      <c r="N31" s="2" t="str">
        <f>IF(ISNA(VLOOKUP(L31,PRODUCT!$A$4:$B$10,1,0)),"Not Exist","Exist")</f>
        <v>Exist</v>
      </c>
    </row>
    <row r="32" spans="1:15" x14ac:dyDescent="0.3">
      <c r="K32" s="2">
        <v>3</v>
      </c>
      <c r="L32" s="2">
        <v>105</v>
      </c>
      <c r="M32" s="2">
        <v>4</v>
      </c>
      <c r="N32" s="2" t="str">
        <f>IF(ISNA(VLOOKUP(L32,PRODUCT!$A$4:$B$10,1,0)),"Not Exist","Exist")</f>
        <v>Exist</v>
      </c>
    </row>
    <row r="33" spans="10:14" x14ac:dyDescent="0.3">
      <c r="K33" s="2">
        <v>4</v>
      </c>
      <c r="L33" s="2">
        <v>106</v>
      </c>
      <c r="M33" s="2">
        <v>3</v>
      </c>
      <c r="N33" s="2" t="str">
        <f>IF(ISNA(VLOOKUP(L33,PRODUCT!$A$4:$B$10,1,0)),"Not Exist","Exist")</f>
        <v>Exist</v>
      </c>
    </row>
    <row r="34" spans="10:14" x14ac:dyDescent="0.3">
      <c r="K34" s="2">
        <v>5</v>
      </c>
      <c r="L34" s="2">
        <v>102</v>
      </c>
      <c r="M34" s="2">
        <v>5</v>
      </c>
      <c r="N34" s="2" t="str">
        <f>IF(ISNA(VLOOKUP(L34,PRODUCT!$A$4:$B$10,1,0)),"Not Exist","Exist")</f>
        <v>Exist</v>
      </c>
    </row>
    <row r="35" spans="10:14" x14ac:dyDescent="0.3">
      <c r="K35" s="2">
        <v>6</v>
      </c>
      <c r="L35" s="2">
        <v>104</v>
      </c>
      <c r="M35" s="2">
        <v>6</v>
      </c>
      <c r="N35" s="2" t="str">
        <f>IF(ISNA(VLOOKUP(L35,PRODUCT!$A$4:$B$10,1,0)),"Not Exist","Exist")</f>
        <v>Exist</v>
      </c>
    </row>
    <row r="36" spans="10:14" x14ac:dyDescent="0.3">
      <c r="K36" s="13">
        <v>7</v>
      </c>
      <c r="L36" s="13">
        <v>108</v>
      </c>
      <c r="M36" s="2">
        <v>8</v>
      </c>
      <c r="N36" s="2" t="str">
        <f>IF(ISNA(VLOOKUP(L36,PRODUCT!$A$4:$B$10,1,0)),"Not Exist","Exist")</f>
        <v>Not Exist</v>
      </c>
    </row>
    <row r="37" spans="10:14" x14ac:dyDescent="0.3">
      <c r="J37" s="10"/>
    </row>
    <row r="41" spans="10:14" x14ac:dyDescent="0.3">
      <c r="K41" t="s">
        <v>36</v>
      </c>
    </row>
    <row r="43" spans="10:14" x14ac:dyDescent="0.3">
      <c r="K43" s="3" t="s">
        <v>2</v>
      </c>
      <c r="L43" s="3" t="s">
        <v>32</v>
      </c>
      <c r="M43" s="3" t="s">
        <v>33</v>
      </c>
    </row>
    <row r="44" spans="10:14" x14ac:dyDescent="0.3">
      <c r="K44" s="2" t="s">
        <v>4</v>
      </c>
      <c r="L44" s="2">
        <v>120</v>
      </c>
      <c r="M44" s="11">
        <f>L44*0.9</f>
        <v>108</v>
      </c>
    </row>
    <row r="45" spans="10:14" x14ac:dyDescent="0.3">
      <c r="K45" s="2" t="s">
        <v>5</v>
      </c>
      <c r="L45" s="2">
        <v>150</v>
      </c>
      <c r="M45" s="11">
        <f t="shared" ref="M45:M49" si="1">L45*0.9</f>
        <v>135</v>
      </c>
    </row>
    <row r="46" spans="10:14" x14ac:dyDescent="0.3">
      <c r="K46" s="2" t="s">
        <v>6</v>
      </c>
      <c r="L46" s="2">
        <v>200</v>
      </c>
      <c r="M46" s="11">
        <f t="shared" si="1"/>
        <v>180</v>
      </c>
    </row>
    <row r="47" spans="10:14" x14ac:dyDescent="0.3">
      <c r="K47" s="2" t="s">
        <v>34</v>
      </c>
      <c r="L47" s="2">
        <v>90</v>
      </c>
      <c r="M47" s="11">
        <f t="shared" si="1"/>
        <v>81</v>
      </c>
    </row>
    <row r="48" spans="10:14" x14ac:dyDescent="0.3">
      <c r="K48" s="2" t="s">
        <v>8</v>
      </c>
      <c r="L48" s="12">
        <v>220</v>
      </c>
      <c r="M48" s="11">
        <f t="shared" si="1"/>
        <v>198</v>
      </c>
    </row>
    <row r="49" spans="11:16" x14ac:dyDescent="0.3">
      <c r="K49" s="2" t="s">
        <v>27</v>
      </c>
      <c r="L49" s="8">
        <v>130</v>
      </c>
      <c r="M49" s="11">
        <f t="shared" si="1"/>
        <v>117</v>
      </c>
    </row>
    <row r="52" spans="11:16" x14ac:dyDescent="0.3">
      <c r="K52" t="s">
        <v>37</v>
      </c>
    </row>
    <row r="54" spans="11:16" x14ac:dyDescent="0.3">
      <c r="K54" s="3" t="s">
        <v>9</v>
      </c>
      <c r="L54" s="3" t="s">
        <v>10</v>
      </c>
      <c r="M54" s="3" t="s">
        <v>11</v>
      </c>
      <c r="N54" s="14" t="s">
        <v>3</v>
      </c>
      <c r="O54" s="14" t="s">
        <v>41</v>
      </c>
      <c r="P54" s="14" t="s">
        <v>42</v>
      </c>
    </row>
    <row r="55" spans="11:16" x14ac:dyDescent="0.3">
      <c r="K55" s="2">
        <v>1</v>
      </c>
      <c r="L55" s="2">
        <v>101</v>
      </c>
      <c r="M55" s="2">
        <v>2</v>
      </c>
      <c r="N55" s="2">
        <v>120</v>
      </c>
      <c r="O55" s="2">
        <f>M55*N55</f>
        <v>240</v>
      </c>
      <c r="P55" s="2">
        <f>MAX(O55:O60)</f>
        <v>1100</v>
      </c>
    </row>
    <row r="56" spans="11:16" x14ac:dyDescent="0.3">
      <c r="K56" s="2">
        <v>2</v>
      </c>
      <c r="L56" s="2">
        <v>103</v>
      </c>
      <c r="M56" s="2">
        <v>1</v>
      </c>
      <c r="N56" s="2">
        <v>150</v>
      </c>
      <c r="O56" s="2">
        <f t="shared" ref="O56:O60" si="2">M56*N56</f>
        <v>150</v>
      </c>
    </row>
    <row r="57" spans="11:16" x14ac:dyDescent="0.3">
      <c r="K57" s="2">
        <v>3</v>
      </c>
      <c r="L57" s="2">
        <v>105</v>
      </c>
      <c r="M57" s="2">
        <v>4</v>
      </c>
      <c r="N57" s="2">
        <v>200</v>
      </c>
      <c r="O57" s="2">
        <f t="shared" si="2"/>
        <v>800</v>
      </c>
    </row>
    <row r="58" spans="11:16" x14ac:dyDescent="0.3">
      <c r="K58" s="2">
        <v>4</v>
      </c>
      <c r="L58" s="2">
        <v>106</v>
      </c>
      <c r="M58" s="2">
        <v>3</v>
      </c>
      <c r="N58" s="2">
        <v>90</v>
      </c>
      <c r="O58" s="2">
        <f t="shared" si="2"/>
        <v>270</v>
      </c>
    </row>
    <row r="59" spans="11:16" x14ac:dyDescent="0.3">
      <c r="K59" s="2">
        <v>5</v>
      </c>
      <c r="L59" s="2">
        <v>102</v>
      </c>
      <c r="M59" s="2">
        <v>5</v>
      </c>
      <c r="N59" s="2">
        <v>220</v>
      </c>
      <c r="O59" s="2">
        <f t="shared" si="2"/>
        <v>1100</v>
      </c>
    </row>
    <row r="60" spans="11:16" x14ac:dyDescent="0.3">
      <c r="K60" s="2">
        <v>6</v>
      </c>
      <c r="L60" s="2">
        <v>104</v>
      </c>
      <c r="M60" s="2">
        <v>6</v>
      </c>
      <c r="N60" s="8">
        <v>130</v>
      </c>
      <c r="O60" s="2">
        <f t="shared" si="2"/>
        <v>780</v>
      </c>
    </row>
    <row r="68" spans="11:16" x14ac:dyDescent="0.3">
      <c r="K68" t="s">
        <v>38</v>
      </c>
      <c r="P68" s="10"/>
    </row>
    <row r="70" spans="11:16" x14ac:dyDescent="0.3">
      <c r="K70" s="20" t="s">
        <v>1</v>
      </c>
      <c r="L70" s="19" t="s">
        <v>2</v>
      </c>
      <c r="M70" s="19" t="s">
        <v>3</v>
      </c>
      <c r="N70" s="14" t="s">
        <v>47</v>
      </c>
    </row>
    <row r="71" spans="11:16" x14ac:dyDescent="0.3">
      <c r="K71" s="21">
        <v>101</v>
      </c>
      <c r="L71" s="18" t="s">
        <v>4</v>
      </c>
      <c r="M71" s="8">
        <v>120</v>
      </c>
      <c r="N71" s="16" t="str">
        <f>IF(ISNA(VLOOKUP(K71,PRODUCT!$A$5:$A$10,1,0)),"Not Order","Ordered")</f>
        <v>Ordered</v>
      </c>
    </row>
    <row r="72" spans="11:16" x14ac:dyDescent="0.3">
      <c r="K72" s="21">
        <v>102</v>
      </c>
      <c r="L72" s="18" t="s">
        <v>5</v>
      </c>
      <c r="M72" s="18">
        <v>150</v>
      </c>
      <c r="N72" s="16" t="str">
        <f>IF(ISNA(VLOOKUP(K72,PRODUCT!$A$5:$A$10,1,0)),"Not Order","Ordered")</f>
        <v>Ordered</v>
      </c>
    </row>
    <row r="73" spans="11:16" x14ac:dyDescent="0.3">
      <c r="K73" s="21">
        <v>103</v>
      </c>
      <c r="L73" s="18" t="s">
        <v>6</v>
      </c>
      <c r="M73" s="8">
        <v>200</v>
      </c>
      <c r="N73" s="16" t="str">
        <f>IF(ISNA(VLOOKUP(K73,PRODUCT!$A$5:$A$10,1,0)),"Not Order","Ordered")</f>
        <v>Ordered</v>
      </c>
    </row>
    <row r="74" spans="11:16" x14ac:dyDescent="0.3">
      <c r="K74" s="21">
        <v>104</v>
      </c>
      <c r="L74" s="18" t="s">
        <v>7</v>
      </c>
      <c r="M74" s="18">
        <v>90</v>
      </c>
      <c r="N74" s="16" t="str">
        <f>IF(ISNA(VLOOKUP(K74,PRODUCT!$A$5:$A$10,1,0)),"Not Order","Ordered")</f>
        <v>Ordered</v>
      </c>
    </row>
    <row r="75" spans="11:16" x14ac:dyDescent="0.3">
      <c r="K75" s="21">
        <v>105</v>
      </c>
      <c r="L75" s="18" t="s">
        <v>8</v>
      </c>
      <c r="M75" s="8">
        <v>220</v>
      </c>
      <c r="N75" s="16" t="str">
        <f>IF(ISNA(VLOOKUP(K75,PRODUCT!$A$5:$A$10,1,0)),"Not Order","Ordered")</f>
        <v>Ordered</v>
      </c>
    </row>
    <row r="76" spans="11:16" x14ac:dyDescent="0.3">
      <c r="K76" s="21">
        <v>106</v>
      </c>
      <c r="L76" s="18" t="s">
        <v>27</v>
      </c>
      <c r="M76" s="8">
        <v>130</v>
      </c>
      <c r="N76" s="16" t="str">
        <f>IF(ISNA(VLOOKUP(K76,PRODUCT!$A$5:$A$10,1,0)),"Not Order","Ordered")</f>
        <v>Ordered</v>
      </c>
    </row>
    <row r="77" spans="11:16" x14ac:dyDescent="0.3">
      <c r="K77" s="17">
        <v>107</v>
      </c>
      <c r="L77" s="15" t="s">
        <v>46</v>
      </c>
      <c r="M77" s="15">
        <v>440</v>
      </c>
      <c r="N77" s="16" t="str">
        <f>IF(ISNA(VLOOKUP(K77,PRODUCT!$A$5:$A$10,1,0)),"Not Order","Ordered")</f>
        <v>Not Order</v>
      </c>
    </row>
    <row r="79" spans="11:16" x14ac:dyDescent="0.3">
      <c r="K79" t="s">
        <v>39</v>
      </c>
    </row>
    <row r="81" spans="11:22" x14ac:dyDescent="0.3">
      <c r="K81" s="5"/>
    </row>
    <row r="82" spans="11:22" x14ac:dyDescent="0.3">
      <c r="K82" s="3" t="s">
        <v>9</v>
      </c>
      <c r="L82" s="6" t="s">
        <v>1</v>
      </c>
      <c r="M82" s="6" t="s">
        <v>2</v>
      </c>
      <c r="N82" s="7" t="s">
        <v>3</v>
      </c>
      <c r="O82" s="14" t="s">
        <v>43</v>
      </c>
      <c r="P82" s="14" t="s">
        <v>12</v>
      </c>
      <c r="T82" s="1" t="s">
        <v>45</v>
      </c>
      <c r="U82" s="1" t="s">
        <v>44</v>
      </c>
      <c r="V82" s="1" t="s">
        <v>12</v>
      </c>
    </row>
    <row r="83" spans="11:22" x14ac:dyDescent="0.3">
      <c r="K83" s="2">
        <v>1</v>
      </c>
      <c r="L83" s="2">
        <v>101</v>
      </c>
      <c r="M83" s="21" t="s">
        <v>4</v>
      </c>
      <c r="N83" s="2">
        <v>120</v>
      </c>
      <c r="O83" s="22"/>
      <c r="P83" s="14"/>
      <c r="T83" s="5"/>
    </row>
    <row r="84" spans="11:22" x14ac:dyDescent="0.3">
      <c r="K84" s="2">
        <v>2</v>
      </c>
      <c r="L84" s="2">
        <v>102</v>
      </c>
      <c r="M84" s="2" t="s">
        <v>5</v>
      </c>
      <c r="N84" s="2">
        <v>150</v>
      </c>
      <c r="O84" s="14"/>
      <c r="P84" s="14"/>
    </row>
    <row r="85" spans="11:22" x14ac:dyDescent="0.3">
      <c r="K85" s="2">
        <v>3</v>
      </c>
      <c r="L85" s="2">
        <v>103</v>
      </c>
      <c r="M85" s="2" t="s">
        <v>6</v>
      </c>
      <c r="N85" s="2">
        <v>200</v>
      </c>
      <c r="O85" s="14"/>
      <c r="P85" s="14"/>
    </row>
    <row r="86" spans="11:22" x14ac:dyDescent="0.3">
      <c r="K86" s="2">
        <v>4</v>
      </c>
      <c r="L86" s="2">
        <v>104</v>
      </c>
      <c r="M86" s="2" t="s">
        <v>7</v>
      </c>
      <c r="N86" s="2">
        <v>90</v>
      </c>
      <c r="O86" s="14"/>
      <c r="P86" s="14"/>
    </row>
    <row r="87" spans="11:22" x14ac:dyDescent="0.3">
      <c r="K87" s="2">
        <v>5</v>
      </c>
      <c r="L87" s="2">
        <v>105</v>
      </c>
      <c r="M87" s="2" t="s">
        <v>8</v>
      </c>
      <c r="N87" s="2">
        <v>220</v>
      </c>
      <c r="O87" s="14"/>
      <c r="P87" s="14"/>
    </row>
    <row r="88" spans="11:22" x14ac:dyDescent="0.3">
      <c r="K88" s="2">
        <v>6</v>
      </c>
      <c r="L88" s="2">
        <v>106</v>
      </c>
      <c r="M88" s="2" t="s">
        <v>27</v>
      </c>
      <c r="N88" s="8">
        <v>130</v>
      </c>
      <c r="O88" s="14"/>
      <c r="P88" s="14"/>
    </row>
    <row r="89" spans="11:22" x14ac:dyDescent="0.3">
      <c r="K89" s="13">
        <v>7</v>
      </c>
      <c r="L89" s="13">
        <v>102</v>
      </c>
      <c r="M89" s="13" t="s">
        <v>5</v>
      </c>
      <c r="N89" s="15">
        <v>150</v>
      </c>
      <c r="O89" s="14"/>
      <c r="P8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Debirupa chakraborty</dc:creator>
  <cp:lastModifiedBy>Debirupa chakraborty</cp:lastModifiedBy>
  <dcterms:created xsi:type="dcterms:W3CDTF">2026-05-25T14:05:58Z</dcterms:created>
  <dcterms:modified xsi:type="dcterms:W3CDTF">2026-05-26T15:43:16Z</dcterms:modified>
</cp:coreProperties>
</file>